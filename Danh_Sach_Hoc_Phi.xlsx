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FABCF7-9CA9-4610-934A-5AA0E1D768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Học Sinh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7" i="1" l="1"/>
  <c r="AF7" i="1" s="1"/>
  <c r="AE3" i="1"/>
  <c r="AF3" i="1" s="1"/>
  <c r="AF2" i="1"/>
  <c r="AE2" i="1"/>
  <c r="AE6" i="1"/>
  <c r="AF6" i="1" s="1"/>
  <c r="J2" i="2" a="1"/>
  <c r="J2" i="2" s="1"/>
  <c r="C30" i="2"/>
  <c r="D29" i="2"/>
  <c r="E29" i="2"/>
  <c r="F29" i="2"/>
  <c r="G29" i="2"/>
  <c r="H29" i="2"/>
  <c r="C29" i="2"/>
  <c r="D27" i="2"/>
  <c r="E27" i="2"/>
  <c r="F27" i="2"/>
  <c r="G27" i="2"/>
  <c r="H27" i="2"/>
  <c r="I27" i="2"/>
  <c r="C27" i="2"/>
  <c r="AE4" i="1"/>
  <c r="AF4" i="1" s="1"/>
  <c r="AE5" i="1"/>
  <c r="AF5" i="1" s="1"/>
  <c r="AG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<sst xmlns="http://schemas.openxmlformats.org/spreadsheetml/2006/main" count="177" uniqueCount="80">
  <si>
    <t>Họ và Tên</t>
  </si>
  <si>
    <t>Lớp</t>
  </si>
  <si>
    <t>Piano</t>
  </si>
  <si>
    <t>Mỹ Kim (bé Ngọc)</t>
  </si>
  <si>
    <t>Nhật Quỳnh</t>
  </si>
  <si>
    <t>Hoàng Đức</t>
  </si>
  <si>
    <t>Trúc Linh (bé Bơ)</t>
  </si>
  <si>
    <t>Hà Loan</t>
  </si>
  <si>
    <t xml:space="preserve">Hoàng Bách (bé Bắp) </t>
  </si>
  <si>
    <t>(Thỏ và Ben)</t>
  </si>
  <si>
    <t>Học Phí (buổi)</t>
  </si>
  <si>
    <t>Học phí (tháng)</t>
  </si>
  <si>
    <t>Tổng học phí</t>
  </si>
  <si>
    <t>13/5/2026</t>
  </si>
  <si>
    <t>14/5/2026</t>
  </si>
  <si>
    <t>15/5/2026</t>
  </si>
  <si>
    <t>16/5/2026</t>
  </si>
  <si>
    <t>17/5/2026</t>
  </si>
  <si>
    <t>19/5/2026</t>
  </si>
  <si>
    <t>20/5/2026</t>
  </si>
  <si>
    <t>21/5/2026</t>
  </si>
  <si>
    <t>22/5/2026</t>
  </si>
  <si>
    <t>23/5/2026</t>
  </si>
  <si>
    <t>24/5/2026</t>
  </si>
  <si>
    <t>26/5/2026</t>
  </si>
  <si>
    <t>27/5/2026</t>
  </si>
  <si>
    <t>28/5/2026</t>
  </si>
  <si>
    <t>29/5/2026</t>
  </si>
  <si>
    <t>30/5/2026</t>
  </si>
  <si>
    <t>31/5/2026</t>
  </si>
  <si>
    <t>Tổng buổi học</t>
  </si>
  <si>
    <t>X</t>
  </si>
  <si>
    <t>Tổng thu nhập</t>
  </si>
  <si>
    <t>Thứ</t>
  </si>
  <si>
    <t>Ngày Tháng</t>
  </si>
  <si>
    <t>T3</t>
  </si>
  <si>
    <t xml:space="preserve"> 5/5/2026</t>
  </si>
  <si>
    <t>T4</t>
  </si>
  <si>
    <t xml:space="preserve"> 6/5/2026</t>
  </si>
  <si>
    <t>T5</t>
  </si>
  <si>
    <t xml:space="preserve"> 7/5/2026</t>
  </si>
  <si>
    <t>T6</t>
  </si>
  <si>
    <t xml:space="preserve"> 8/5/2026</t>
  </si>
  <si>
    <t>T7</t>
  </si>
  <si>
    <t xml:space="preserve"> 9/5/2026</t>
  </si>
  <si>
    <t>CN</t>
  </si>
  <si>
    <t>10/5/2026</t>
  </si>
  <si>
    <t>12/5/2026</t>
  </si>
  <si>
    <t xml:space="preserve"> 1/5/2026</t>
  </si>
  <si>
    <t>Ngân Hàng</t>
  </si>
  <si>
    <t>STK</t>
  </si>
  <si>
    <t>Vietcombank</t>
  </si>
  <si>
    <t>Lớp Nhạc Phím Hồng</t>
  </si>
  <si>
    <t>Nhận Xét Của GV</t>
  </si>
  <si>
    <t>x</t>
  </si>
  <si>
    <t>T7 6/6/2026</t>
  </si>
  <si>
    <t>T3 2/6/2026</t>
  </si>
  <si>
    <t>T4 3/6/2026</t>
  </si>
  <si>
    <t>T5 4/6/2026</t>
  </si>
  <si>
    <t>T6 5/6/2026</t>
  </si>
  <si>
    <t>T2 8/6/2026</t>
  </si>
  <si>
    <t>T3 9/6/2026</t>
  </si>
  <si>
    <t>T4 10/6/2026</t>
  </si>
  <si>
    <t>T5 11/6/2026</t>
  </si>
  <si>
    <t>T6 12/6/2026</t>
  </si>
  <si>
    <t>T7 13/6/2026</t>
  </si>
  <si>
    <t>T2 15/6/2026</t>
  </si>
  <si>
    <t>T3 16/6/2026</t>
  </si>
  <si>
    <t>T4 17/6/2026</t>
  </si>
  <si>
    <t>T5 18/6/2026</t>
  </si>
  <si>
    <t>T6 19/6/2026</t>
  </si>
  <si>
    <t>T7 20/6/2026</t>
  </si>
  <si>
    <t>T2 22/6/2026</t>
  </si>
  <si>
    <t>T3 23/6/2026</t>
  </si>
  <si>
    <t>T4 24/6/2026</t>
  </si>
  <si>
    <t>T5 25/6/2026</t>
  </si>
  <si>
    <t>T6 26/6/2026</t>
  </si>
  <si>
    <t>T7 27/6/2026</t>
  </si>
  <si>
    <t>T2 29/6/2026</t>
  </si>
  <si>
    <t>T3 30/6/2026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</si>
</sst>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 applyNumberForma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/>
    <xf numFmtId="0" fontId="0" fillId="0" borderId="0" xfId="0" applyNumberFormat="1" applyAlignment="1">
      <alignment horizontal="center"/>
    </xf>
    <xf numFmtId="164" fontId="0" fillId="0" borderId="0" xfId="1" applyNumberFormat="1" applyFont="1"/>
    <xf numFmtId="164" fontId="2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64" fontId="2" fillId="2" borderId="0" xfId="0" applyNumberFormat="1" applyFont="1" applyFill="1"/>
    <xf numFmtId="0" fontId="2" fillId="4" borderId="0" xfId="0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zoomScaleNormal="100" workbookViewId="0">
      <selection activeCell="AE3" sqref="AE3"/>
    </sheetView>
  </sheetViews>
  <sheetFormatPr defaultRowHeight="15.75" x14ac:dyDescent="0.25"/>
  <cols>
    <col min="1" max="1" width="18" bestFit="1" customWidth="1"/>
    <col min="2" max="2" width="22.875" customWidth="1"/>
    <col min="3" max="3" width="14.875" customWidth="1"/>
    <col min="4" max="4" width="12.875" customWidth="1"/>
    <col min="5" max="5" width="17.375" customWidth="1"/>
    <col min="6" max="6" width="14.25" customWidth="1"/>
    <col min="7" max="7" width="11" customWidth="1"/>
    <col min="8" max="8" width="11.625" customWidth="1"/>
    <col min="9" max="9" width="11.25" customWidth="1"/>
    <col min="10" max="10" width="13.375" customWidth="1"/>
    <col min="11" max="11" width="13.25" customWidth="1"/>
    <col min="12" max="12" width="12.25" customWidth="1"/>
    <col min="13" max="13" width="13" customWidth="1"/>
    <col min="14" max="14" width="12.875" customWidth="1"/>
    <col min="15" max="15" width="14" customWidth="1"/>
    <col min="16" max="16" width="14.625" customWidth="1"/>
    <col min="17" max="17" width="12.5" customWidth="1"/>
    <col min="18" max="18" width="13.75" customWidth="1"/>
    <col min="19" max="19" width="12.75" customWidth="1"/>
    <col min="20" max="21" width="15" customWidth="1"/>
    <col min="22" max="22" width="14.375" customWidth="1"/>
    <col min="23" max="23" width="14.25" customWidth="1"/>
    <col min="24" max="24" width="13.875" customWidth="1"/>
    <col min="25" max="25" width="12.5" customWidth="1"/>
    <col min="26" max="26" width="14.625" customWidth="1"/>
    <col min="27" max="27" width="13.625" customWidth="1"/>
    <col min="28" max="31" width="14.75" customWidth="1"/>
    <col min="32" max="32" width="14.25" style="6" customWidth="1"/>
    <col min="33" max="33" width="14.5" bestFit="1" customWidth="1"/>
    <col min="34" max="34" width="14.5" customWidth="1"/>
    <col min="35" max="35" width="13.75" customWidth="1"/>
    <col min="36" max="36" width="10.875" bestFit="1" customWidth="1"/>
  </cols>
  <sheetData>
    <row r="1" spans="1:36" x14ac:dyDescent="0.25">
      <c r="A1" t="s">
        <v>52</v>
      </c>
      <c r="B1" s="2" t="s">
        <v>0</v>
      </c>
      <c r="C1" s="2" t="s">
        <v>1</v>
      </c>
      <c r="D1" s="2" t="s">
        <v>10</v>
      </c>
      <c r="E1" s="2" t="s">
        <v>11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55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  <c r="X1" s="4" t="s">
        <v>73</v>
      </c>
      <c r="Y1" s="4" t="s">
        <v>74</v>
      </c>
      <c r="Z1" s="3" t="s">
        <v>75</v>
      </c>
      <c r="AA1" s="3" t="s">
        <v>76</v>
      </c>
      <c r="AB1" s="1" t="s">
        <v>77</v>
      </c>
      <c r="AC1" s="1" t="s">
        <v>78</v>
      </c>
      <c r="AD1" s="1" t="s">
        <v>79</v>
      </c>
      <c r="AE1" s="3" t="s">
        <v>30</v>
      </c>
      <c r="AF1" s="7" t="s">
        <v>12</v>
      </c>
      <c r="AG1" s="3" t="s">
        <v>32</v>
      </c>
      <c r="AH1" s="3" t="s">
        <v>53</v>
      </c>
      <c r="AI1" s="3" t="s">
        <v>49</v>
      </c>
      <c r="AJ1" s="3" t="s">
        <v>50</v>
      </c>
    </row>
    <row r="2" spans="1:36" x14ac:dyDescent="0.25">
      <c r="B2" t="s">
        <v>3</v>
      </c>
      <c r="C2" t="s">
        <v>2</v>
      </c>
      <c r="D2">
        <v>320000</v>
      </c>
      <c r="F2" s="5" t="s">
        <v>31</v>
      </c>
      <c r="G2" s="5"/>
      <c r="H2" s="5" t="s">
        <v>31</v>
      </c>
      <c r="I2" s="5"/>
      <c r="J2" s="5"/>
      <c r="K2" s="5"/>
      <c r="L2" s="5" t="s">
        <v>31</v>
      </c>
      <c r="M2" s="5"/>
      <c r="N2" s="5"/>
      <c r="O2" s="5"/>
      <c r="P2" s="5"/>
      <c r="Q2" s="5"/>
      <c r="R2" s="5" t="s">
        <v>31</v>
      </c>
      <c r="T2" t="s">
        <v>31</v>
      </c>
      <c r="X2" t="s">
        <v>31</v>
      </c>
      <c r="Z2" t="s">
        <v>31</v>
      </c>
      <c r="AD2" t="s">
        <v>31</v>
      </c>
      <c r="AE2">
        <f>COUNTA(E2:AD2)</f>
        <v>8</v>
      </c>
      <c r="AF2" s="6">
        <f>AE2*D2</f>
        <v>2560000</v>
      </c>
      <c r="AG2" s="6">
        <f>SUM((AF:AF))</f>
        <v>13900000</v>
      </c>
      <c r="AH2" s="6"/>
      <c r="AI2" t="s">
        <v>51</v>
      </c>
      <c r="AJ2">
        <v>1017831354</v>
      </c>
    </row>
    <row r="3" spans="1:36" x14ac:dyDescent="0.25">
      <c r="B3" t="s">
        <v>5</v>
      </c>
      <c r="C3" t="s">
        <v>2</v>
      </c>
      <c r="D3">
        <v>200000</v>
      </c>
      <c r="F3" s="5"/>
      <c r="G3" t="s">
        <v>31</v>
      </c>
      <c r="J3" t="s">
        <v>31</v>
      </c>
      <c r="M3" t="s">
        <v>31</v>
      </c>
      <c r="P3" t="s">
        <v>31</v>
      </c>
      <c r="AE3">
        <f>COUNTA(E3:AB3)</f>
        <v>4</v>
      </c>
      <c r="AF3" s="6">
        <f t="shared" ref="AF2:AF7" si="0">AE3*D3</f>
        <v>800000</v>
      </c>
      <c r="AI3" t="s">
        <v>51</v>
      </c>
      <c r="AJ3">
        <v>1017831354</v>
      </c>
    </row>
    <row r="4" spans="1:36" x14ac:dyDescent="0.25">
      <c r="B4" t="s">
        <v>6</v>
      </c>
      <c r="C4" t="s">
        <v>2</v>
      </c>
      <c r="D4">
        <v>350000</v>
      </c>
      <c r="F4" s="5"/>
      <c r="G4" t="s">
        <v>31</v>
      </c>
      <c r="J4" t="s">
        <v>31</v>
      </c>
      <c r="K4" t="s">
        <v>31</v>
      </c>
      <c r="S4" t="s">
        <v>31</v>
      </c>
      <c r="V4" t="s">
        <v>31</v>
      </c>
      <c r="Y4" t="s">
        <v>31</v>
      </c>
      <c r="AE4">
        <f>COUNTA(E4:AB4)</f>
        <v>6</v>
      </c>
      <c r="AF4" s="6">
        <f t="shared" si="0"/>
        <v>2100000</v>
      </c>
      <c r="AI4" t="s">
        <v>51</v>
      </c>
      <c r="AJ4">
        <v>1017831354</v>
      </c>
    </row>
    <row r="5" spans="1:36" x14ac:dyDescent="0.25">
      <c r="B5" t="s">
        <v>7</v>
      </c>
      <c r="C5" t="s">
        <v>2</v>
      </c>
      <c r="D5">
        <v>150000</v>
      </c>
      <c r="F5" s="5"/>
      <c r="AE5">
        <f>COUNTA(E5:AB5)</f>
        <v>0</v>
      </c>
      <c r="AF5" s="6">
        <f t="shared" si="0"/>
        <v>0</v>
      </c>
      <c r="AI5" t="s">
        <v>51</v>
      </c>
      <c r="AJ5">
        <v>1017831354</v>
      </c>
    </row>
    <row r="6" spans="1:36" x14ac:dyDescent="0.25">
      <c r="B6" t="s">
        <v>8</v>
      </c>
      <c r="C6" t="s">
        <v>2</v>
      </c>
      <c r="D6">
        <v>350000</v>
      </c>
      <c r="F6" s="5"/>
      <c r="Q6" t="s">
        <v>31</v>
      </c>
      <c r="S6" t="s">
        <v>31</v>
      </c>
      <c r="W6" t="s">
        <v>31</v>
      </c>
      <c r="Y6" t="s">
        <v>31</v>
      </c>
      <c r="AC6" t="s">
        <v>54</v>
      </c>
      <c r="AE6">
        <f>COUNTA(G6:AD6)</f>
        <v>5</v>
      </c>
      <c r="AF6" s="6">
        <f t="shared" si="0"/>
        <v>1750000</v>
      </c>
      <c r="AI6" t="s">
        <v>51</v>
      </c>
      <c r="AJ6">
        <v>1017831354</v>
      </c>
    </row>
    <row r="7" spans="1:36" x14ac:dyDescent="0.25">
      <c r="B7" t="s">
        <v>9</v>
      </c>
      <c r="C7" t="s">
        <v>2</v>
      </c>
      <c r="D7">
        <v>670000</v>
      </c>
      <c r="F7" s="5"/>
      <c r="I7" t="s">
        <v>31</v>
      </c>
      <c r="L7" t="s">
        <v>31</v>
      </c>
      <c r="R7" t="s">
        <v>31</v>
      </c>
      <c r="U7" t="s">
        <v>31</v>
      </c>
      <c r="X7" t="s">
        <v>31</v>
      </c>
      <c r="AA7" t="s">
        <v>31</v>
      </c>
      <c r="AD7" t="s">
        <v>31</v>
      </c>
      <c r="AE7">
        <f>COUNTA(E7:AD7)</f>
        <v>7</v>
      </c>
      <c r="AF7" s="6">
        <f t="shared" si="0"/>
        <v>4690000</v>
      </c>
      <c r="AI7" t="s">
        <v>51</v>
      </c>
      <c r="AJ7">
        <v>1017831354</v>
      </c>
    </row>
    <row r="8" spans="1:36" x14ac:dyDescent="0.25">
      <c r="B8" t="s">
        <v>4</v>
      </c>
      <c r="C8" t="s">
        <v>2</v>
      </c>
      <c r="F8" s="5"/>
      <c r="AF8" s="6">
        <v>2000000</v>
      </c>
      <c r="AI8" t="s">
        <v>51</v>
      </c>
      <c r="AJ8">
        <v>1017831354</v>
      </c>
    </row>
  </sheetData>
  <phoneticPr fontId="3" type="noConversion"/>
  <pageMargins left="0.7" right="0.7" top="0.75" bottom="0.75" header="0.3" footer="0.3"/>
  <pageSetup orientation="portrait" r:id="rId1"/>
  <ignoredErrors>
    <ignoredError sqref="B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2CC7-C7A8-4B49-A276-023D96C6F598}">
  <dimension ref="A1:L30"/>
  <sheetViews>
    <sheetView workbookViewId="0">
      <selection activeCell="J2" sqref="J2"/>
    </sheetView>
  </sheetViews>
  <sheetFormatPr defaultRowHeight="15.75" x14ac:dyDescent="0.25"/>
  <cols>
    <col min="1" max="1" width="13.75" style="9" customWidth="1"/>
    <col min="2" max="2" width="14" style="8" customWidth="1"/>
    <col min="3" max="3" width="16.25" bestFit="1" customWidth="1"/>
    <col min="4" max="4" width="10.25" bestFit="1" customWidth="1"/>
    <col min="5" max="5" width="15.625" bestFit="1" customWidth="1"/>
    <col min="6" max="6" width="8.625" bestFit="1" customWidth="1"/>
    <col min="7" max="7" width="19.375" bestFit="1" customWidth="1"/>
    <col min="8" max="9" width="12.625" bestFit="1" customWidth="1"/>
    <col min="10" max="10" width="13.25" bestFit="1" customWidth="1"/>
    <col min="11" max="11" width="13.375" bestFit="1" customWidth="1"/>
    <col min="12" max="12" width="13.625" bestFit="1" customWidth="1"/>
  </cols>
  <sheetData>
    <row r="1" spans="1:12" x14ac:dyDescent="0.25">
      <c r="A1" s="15" t="s">
        <v>33</v>
      </c>
      <c r="B1" s="15" t="s">
        <v>34</v>
      </c>
      <c r="C1" s="13" t="s">
        <v>3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4</v>
      </c>
      <c r="J1" s="3"/>
      <c r="K1" s="7"/>
      <c r="L1" s="3"/>
    </row>
    <row r="2" spans="1:12" x14ac:dyDescent="0.25">
      <c r="A2" s="10" t="s">
        <v>41</v>
      </c>
      <c r="B2" s="10" t="s">
        <v>48</v>
      </c>
      <c r="C2" s="8"/>
      <c r="D2" s="8"/>
      <c r="E2" s="8"/>
      <c r="F2" s="8"/>
      <c r="G2" s="8"/>
      <c r="H2" s="8" t="s">
        <v>31</v>
      </c>
      <c r="I2" s="8"/>
      <c r="J2" s="3" t="str" cm="1">
        <f t="array" ref="J2:J9">_xlfn._xlws.FILTER(B$2:$B26,C2:C26="x")</f>
        <v xml:space="preserve"> 5/5/2026</v>
      </c>
      <c r="K2" s="7"/>
      <c r="L2" s="3"/>
    </row>
    <row r="3" spans="1:12" x14ac:dyDescent="0.25">
      <c r="A3" s="10" t="s">
        <v>35</v>
      </c>
      <c r="B3" s="11" t="s">
        <v>36</v>
      </c>
      <c r="C3" s="8" t="s">
        <v>31</v>
      </c>
      <c r="D3" s="8"/>
      <c r="E3" s="8"/>
      <c r="F3" s="8"/>
      <c r="G3" s="8"/>
      <c r="H3" s="8"/>
      <c r="I3" s="8"/>
      <c r="J3" t="str">
        <v xml:space="preserve"> 7/5/2026</v>
      </c>
    </row>
    <row r="4" spans="1:12" x14ac:dyDescent="0.25">
      <c r="A4" s="10" t="s">
        <v>37</v>
      </c>
      <c r="B4" s="11" t="s">
        <v>38</v>
      </c>
      <c r="C4" s="8"/>
      <c r="D4" s="8" t="s">
        <v>31</v>
      </c>
      <c r="E4" s="8" t="s">
        <v>31</v>
      </c>
      <c r="F4" s="8"/>
      <c r="G4" s="8"/>
      <c r="H4" s="8"/>
      <c r="I4" s="8"/>
      <c r="J4" t="str">
        <v>12/5/2026</v>
      </c>
    </row>
    <row r="5" spans="1:12" x14ac:dyDescent="0.25">
      <c r="A5" s="10" t="s">
        <v>39</v>
      </c>
      <c r="B5" s="11" t="s">
        <v>40</v>
      </c>
      <c r="C5" s="8" t="s">
        <v>31</v>
      </c>
      <c r="D5" s="8"/>
      <c r="E5" s="8"/>
      <c r="F5" s="8"/>
      <c r="G5" s="8"/>
      <c r="H5" s="8"/>
      <c r="I5" s="8"/>
      <c r="J5" t="str">
        <v>14/5/2026</v>
      </c>
    </row>
    <row r="6" spans="1:12" x14ac:dyDescent="0.25">
      <c r="A6" s="10" t="s">
        <v>41</v>
      </c>
      <c r="B6" s="11" t="s">
        <v>42</v>
      </c>
      <c r="C6" s="8"/>
      <c r="D6" s="8"/>
      <c r="E6" s="8"/>
      <c r="F6" s="8" t="s">
        <v>31</v>
      </c>
      <c r="G6" s="8"/>
      <c r="H6" s="8"/>
      <c r="I6" s="8"/>
      <c r="J6" t="str">
        <v>19/5/2026</v>
      </c>
    </row>
    <row r="7" spans="1:12" x14ac:dyDescent="0.25">
      <c r="A7" s="10" t="s">
        <v>43</v>
      </c>
      <c r="B7" s="11" t="s">
        <v>44</v>
      </c>
      <c r="C7" s="8"/>
      <c r="D7" s="8" t="s">
        <v>31</v>
      </c>
      <c r="E7" s="8" t="s">
        <v>31</v>
      </c>
      <c r="F7" s="8"/>
      <c r="G7" s="8"/>
      <c r="H7" s="8" t="s">
        <v>31</v>
      </c>
      <c r="I7" s="8"/>
      <c r="J7" t="str">
        <v>21/5/2026</v>
      </c>
    </row>
    <row r="8" spans="1:12" x14ac:dyDescent="0.25">
      <c r="A8" s="10" t="s">
        <v>45</v>
      </c>
      <c r="B8" s="11" t="s">
        <v>46</v>
      </c>
      <c r="C8" s="8"/>
      <c r="D8" s="8"/>
      <c r="E8" s="8"/>
      <c r="F8" s="8"/>
      <c r="G8" s="8"/>
      <c r="H8" s="8"/>
      <c r="I8" s="8"/>
      <c r="J8" t="str">
        <v>26/5/2026</v>
      </c>
    </row>
    <row r="9" spans="1:12" x14ac:dyDescent="0.25">
      <c r="A9" s="10" t="s">
        <v>35</v>
      </c>
      <c r="B9" s="11" t="s">
        <v>47</v>
      </c>
      <c r="C9" s="8" t="s">
        <v>31</v>
      </c>
      <c r="D9" s="8"/>
      <c r="E9" s="8"/>
      <c r="F9" s="8"/>
      <c r="G9" s="8"/>
      <c r="H9" s="8"/>
      <c r="I9" s="8"/>
      <c r="J9" t="str">
        <v>28/5/2026</v>
      </c>
    </row>
    <row r="10" spans="1:12" x14ac:dyDescent="0.25">
      <c r="A10" s="10" t="s">
        <v>37</v>
      </c>
      <c r="B10" s="11" t="s">
        <v>13</v>
      </c>
      <c r="C10" s="8"/>
      <c r="D10" s="8" t="s">
        <v>31</v>
      </c>
      <c r="E10" s="8"/>
      <c r="F10" s="8"/>
      <c r="G10" s="8"/>
      <c r="H10" s="8"/>
      <c r="I10" s="8"/>
    </row>
    <row r="11" spans="1:12" x14ac:dyDescent="0.25">
      <c r="A11" s="10" t="s">
        <v>39</v>
      </c>
      <c r="B11" s="11" t="s">
        <v>14</v>
      </c>
      <c r="C11" s="8" t="s">
        <v>31</v>
      </c>
      <c r="D11" s="8"/>
      <c r="E11" s="8"/>
      <c r="F11" s="8"/>
      <c r="G11" s="8"/>
      <c r="H11" s="8"/>
      <c r="I11" s="8"/>
    </row>
    <row r="12" spans="1:12" x14ac:dyDescent="0.25">
      <c r="A12" s="10" t="s">
        <v>41</v>
      </c>
      <c r="B12" s="11" t="s">
        <v>15</v>
      </c>
      <c r="C12" s="8"/>
      <c r="D12" s="8"/>
      <c r="E12" s="8"/>
      <c r="F12" s="8" t="s">
        <v>31</v>
      </c>
      <c r="G12" s="8"/>
      <c r="H12" s="8"/>
      <c r="I12" s="8"/>
    </row>
    <row r="13" spans="1:12" x14ac:dyDescent="0.25">
      <c r="A13" s="10" t="s">
        <v>43</v>
      </c>
      <c r="B13" s="11" t="s">
        <v>16</v>
      </c>
      <c r="C13" s="8"/>
      <c r="D13" s="8" t="s">
        <v>31</v>
      </c>
      <c r="E13" s="8" t="s">
        <v>31</v>
      </c>
      <c r="F13" s="8"/>
      <c r="G13" s="8"/>
      <c r="H13" s="8" t="s">
        <v>31</v>
      </c>
      <c r="I13" s="8"/>
    </row>
    <row r="14" spans="1:12" x14ac:dyDescent="0.25">
      <c r="A14" s="10" t="s">
        <v>45</v>
      </c>
      <c r="B14" s="11" t="s">
        <v>17</v>
      </c>
      <c r="C14" s="8"/>
      <c r="D14" s="8"/>
      <c r="E14" s="8"/>
      <c r="F14" s="8"/>
      <c r="G14" s="8"/>
      <c r="H14" s="8"/>
      <c r="I14" s="8"/>
    </row>
    <row r="15" spans="1:12" x14ac:dyDescent="0.25">
      <c r="A15" s="10" t="s">
        <v>35</v>
      </c>
      <c r="B15" s="11" t="s">
        <v>18</v>
      </c>
      <c r="C15" s="8" t="s">
        <v>31</v>
      </c>
      <c r="D15" s="8"/>
      <c r="E15" s="8"/>
      <c r="F15" s="8"/>
      <c r="G15" s="8"/>
      <c r="H15" s="8"/>
      <c r="I15" s="8"/>
    </row>
    <row r="16" spans="1:12" x14ac:dyDescent="0.25">
      <c r="A16" s="10" t="s">
        <v>37</v>
      </c>
      <c r="B16" s="11" t="s">
        <v>19</v>
      </c>
      <c r="C16" s="8"/>
      <c r="D16" s="8"/>
      <c r="E16" s="8" t="s">
        <v>31</v>
      </c>
      <c r="F16" s="8"/>
      <c r="G16" s="8"/>
      <c r="H16" s="8"/>
      <c r="I16" s="8"/>
    </row>
    <row r="17" spans="1:9" x14ac:dyDescent="0.25">
      <c r="A17" s="10" t="s">
        <v>39</v>
      </c>
      <c r="B17" s="11" t="s">
        <v>20</v>
      </c>
      <c r="C17" s="8" t="s">
        <v>31</v>
      </c>
      <c r="D17" s="8"/>
      <c r="E17" s="8"/>
      <c r="F17" s="8"/>
      <c r="G17" s="8"/>
      <c r="H17" s="8"/>
      <c r="I17" s="8"/>
    </row>
    <row r="18" spans="1:9" x14ac:dyDescent="0.25">
      <c r="A18" s="10" t="s">
        <v>41</v>
      </c>
      <c r="B18" s="11" t="s">
        <v>21</v>
      </c>
      <c r="C18" s="8"/>
      <c r="D18" s="8"/>
      <c r="E18" s="8"/>
      <c r="F18" s="8" t="s">
        <v>31</v>
      </c>
      <c r="G18" s="8"/>
      <c r="H18" s="8"/>
      <c r="I18" s="8"/>
    </row>
    <row r="19" spans="1:9" x14ac:dyDescent="0.25">
      <c r="A19" s="10" t="s">
        <v>43</v>
      </c>
      <c r="B19" s="11" t="s">
        <v>22</v>
      </c>
      <c r="C19" s="8"/>
      <c r="D19" s="8"/>
      <c r="E19" s="8" t="s">
        <v>31</v>
      </c>
      <c r="F19" s="8"/>
      <c r="G19" s="8"/>
      <c r="H19" s="8" t="s">
        <v>31</v>
      </c>
      <c r="I19" s="8"/>
    </row>
    <row r="20" spans="1:9" x14ac:dyDescent="0.25">
      <c r="A20" s="10" t="s">
        <v>45</v>
      </c>
      <c r="B20" s="11" t="s">
        <v>23</v>
      </c>
      <c r="C20" s="8"/>
      <c r="D20" s="8"/>
      <c r="E20" s="8"/>
      <c r="F20" s="8"/>
      <c r="G20" s="8"/>
      <c r="H20" s="8"/>
      <c r="I20" s="8"/>
    </row>
    <row r="21" spans="1:9" x14ac:dyDescent="0.25">
      <c r="A21" s="10" t="s">
        <v>35</v>
      </c>
      <c r="B21" s="11" t="s">
        <v>24</v>
      </c>
      <c r="C21" s="8" t="s">
        <v>31</v>
      </c>
      <c r="D21" s="8"/>
      <c r="E21" s="8"/>
      <c r="F21" s="8"/>
      <c r="G21" s="8"/>
      <c r="H21" s="8"/>
      <c r="I21" s="8"/>
    </row>
    <row r="22" spans="1:9" x14ac:dyDescent="0.25">
      <c r="A22" s="10" t="s">
        <v>37</v>
      </c>
      <c r="B22" s="11" t="s">
        <v>25</v>
      </c>
      <c r="C22" s="8"/>
      <c r="D22" s="8"/>
      <c r="E22" s="8" t="s">
        <v>31</v>
      </c>
      <c r="F22" s="8"/>
      <c r="G22" s="8"/>
      <c r="H22" s="8"/>
      <c r="I22" s="8"/>
    </row>
    <row r="23" spans="1:9" x14ac:dyDescent="0.25">
      <c r="A23" s="10" t="s">
        <v>39</v>
      </c>
      <c r="B23" s="11" t="s">
        <v>26</v>
      </c>
      <c r="C23" s="8" t="s">
        <v>31</v>
      </c>
      <c r="D23" s="8"/>
      <c r="E23" s="8"/>
      <c r="F23" s="8"/>
      <c r="G23" s="8"/>
      <c r="H23" s="8"/>
      <c r="I23" s="8"/>
    </row>
    <row r="24" spans="1:9" x14ac:dyDescent="0.25">
      <c r="A24" s="10" t="s">
        <v>41</v>
      </c>
      <c r="B24" s="11" t="s">
        <v>27</v>
      </c>
      <c r="C24" s="8"/>
      <c r="D24" s="8"/>
      <c r="E24" s="8"/>
      <c r="F24" s="8" t="s">
        <v>31</v>
      </c>
      <c r="G24" s="8"/>
      <c r="H24" s="8"/>
      <c r="I24" s="8"/>
    </row>
    <row r="25" spans="1:9" x14ac:dyDescent="0.25">
      <c r="A25" s="10" t="s">
        <v>43</v>
      </c>
      <c r="B25" s="11" t="s">
        <v>28</v>
      </c>
      <c r="C25" s="8"/>
      <c r="D25" s="8"/>
      <c r="E25" s="8"/>
      <c r="F25" s="8"/>
      <c r="G25" s="8"/>
      <c r="H25" s="8" t="s">
        <v>31</v>
      </c>
      <c r="I25" s="8"/>
    </row>
    <row r="26" spans="1:9" x14ac:dyDescent="0.25">
      <c r="A26" s="10" t="s">
        <v>45</v>
      </c>
      <c r="B26" s="11" t="s">
        <v>29</v>
      </c>
      <c r="C26" s="8"/>
      <c r="D26" s="8"/>
      <c r="E26" s="8"/>
      <c r="F26" s="8"/>
      <c r="G26" s="8"/>
      <c r="H26" s="8"/>
      <c r="I26" s="8"/>
    </row>
    <row r="27" spans="1:9" x14ac:dyDescent="0.25">
      <c r="A27" s="16" t="s">
        <v>30</v>
      </c>
      <c r="B27" s="16"/>
      <c r="C27" s="8">
        <f t="shared" ref="C27:I27" si="0">COUNTA(C2:C26)</f>
        <v>8</v>
      </c>
      <c r="D27" s="8">
        <f t="shared" si="0"/>
        <v>4</v>
      </c>
      <c r="E27" s="8">
        <f t="shared" si="0"/>
        <v>6</v>
      </c>
      <c r="F27" s="8">
        <f t="shared" si="0"/>
        <v>4</v>
      </c>
      <c r="G27" s="8">
        <f t="shared" si="0"/>
        <v>0</v>
      </c>
      <c r="H27" s="8">
        <f t="shared" si="0"/>
        <v>5</v>
      </c>
      <c r="I27" s="8">
        <f t="shared" si="0"/>
        <v>0</v>
      </c>
    </row>
    <row r="28" spans="1:9" s="6" customFormat="1" x14ac:dyDescent="0.25">
      <c r="A28" s="17" t="s">
        <v>10</v>
      </c>
      <c r="B28" s="17"/>
      <c r="C28" s="14">
        <v>320000</v>
      </c>
      <c r="D28" s="14">
        <v>200000</v>
      </c>
      <c r="E28" s="14">
        <v>350000</v>
      </c>
      <c r="F28" s="14">
        <v>150000</v>
      </c>
      <c r="G28" s="14">
        <v>350000</v>
      </c>
      <c r="H28" s="14">
        <v>670000</v>
      </c>
      <c r="I28" s="14"/>
    </row>
    <row r="29" spans="1:9" s="6" customFormat="1" x14ac:dyDescent="0.25">
      <c r="A29" s="17" t="s">
        <v>12</v>
      </c>
      <c r="B29" s="17"/>
      <c r="C29" s="14">
        <f>C28*C27</f>
        <v>2560000</v>
      </c>
      <c r="D29" s="14">
        <f t="shared" ref="D29:H29" si="1">D28*D27</f>
        <v>800000</v>
      </c>
      <c r="E29" s="14">
        <f t="shared" si="1"/>
        <v>2100000</v>
      </c>
      <c r="F29" s="14">
        <f t="shared" si="1"/>
        <v>600000</v>
      </c>
      <c r="G29" s="14">
        <f t="shared" si="1"/>
        <v>0</v>
      </c>
      <c r="H29" s="14">
        <f t="shared" si="1"/>
        <v>3350000</v>
      </c>
      <c r="I29" s="14">
        <v>2000000</v>
      </c>
    </row>
    <row r="30" spans="1:9" x14ac:dyDescent="0.25">
      <c r="A30" s="18" t="s">
        <v>32</v>
      </c>
      <c r="B30" s="18"/>
      <c r="C30" s="12">
        <f>SUM(29:29)</f>
        <v>11410000</v>
      </c>
    </row>
  </sheetData>
  <mergeCells count="4">
    <mergeCell ref="A27:B27"/>
    <mergeCell ref="A29:B29"/>
    <mergeCell ref="A30:B30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Học Sinh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Huynh</cp:lastModifiedBy>
  <dcterms:modified xsi:type="dcterms:W3CDTF">2026-06-03T03:26:04Z</dcterms:modified>
</cp:coreProperties>
</file>